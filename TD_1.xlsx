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Exo-1-TD" sheetId="3" r:id="rId1"/>
    <sheet name="Exo-2-TD" sheetId="5" r:id="rId2"/>
    <sheet name="Dev1-Exo3" sheetId="1" r:id="rId3"/>
  </sheets>
  <calcPr calcId="144525"/>
</workbook>
</file>

<file path=xl/calcChain.xml><?xml version="1.0" encoding="utf-8"?>
<calcChain xmlns="http://schemas.openxmlformats.org/spreadsheetml/2006/main">
  <c r="B23" i="3" l="1"/>
  <c r="B22" i="3"/>
  <c r="B21" i="3"/>
  <c r="B20" i="3"/>
  <c r="B19" i="3"/>
  <c r="B18" i="3"/>
  <c r="B17" i="3"/>
  <c r="H30" i="5"/>
  <c r="H29" i="5"/>
  <c r="J27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" i="5"/>
  <c r="H28" i="5"/>
  <c r="H27" i="5"/>
  <c r="C8" i="5"/>
  <c r="C9" i="5"/>
  <c r="C10" i="5" s="1"/>
  <c r="F7" i="5"/>
  <c r="E7" i="5"/>
  <c r="F4" i="5"/>
  <c r="F5" i="5"/>
  <c r="F6" i="5"/>
  <c r="F3" i="5"/>
  <c r="E4" i="5"/>
  <c r="E5" i="5"/>
  <c r="E6" i="5"/>
  <c r="E3" i="5"/>
  <c r="D7" i="5"/>
  <c r="J4" i="3"/>
  <c r="J5" i="3"/>
  <c r="J6" i="3"/>
  <c r="J7" i="3"/>
  <c r="J8" i="3"/>
  <c r="J9" i="3"/>
  <c r="I4" i="3"/>
  <c r="I6" i="3"/>
  <c r="I8" i="3"/>
  <c r="H4" i="3"/>
  <c r="H5" i="3"/>
  <c r="I5" i="3" s="1"/>
  <c r="H6" i="3"/>
  <c r="H7" i="3"/>
  <c r="I7" i="3" s="1"/>
  <c r="H8" i="3"/>
  <c r="H9" i="3"/>
  <c r="I9" i="3" s="1"/>
  <c r="G3" i="3"/>
  <c r="J3" i="3" s="1"/>
  <c r="J10" i="3" s="1"/>
  <c r="B11" i="3" s="1"/>
  <c r="E5" i="3"/>
  <c r="E6" i="3" s="1"/>
  <c r="E7" i="3" s="1"/>
  <c r="E8" i="3" s="1"/>
  <c r="E9" i="3" s="1"/>
  <c r="E4" i="3"/>
  <c r="D4" i="3"/>
  <c r="D5" i="3"/>
  <c r="D6" i="3"/>
  <c r="D7" i="3"/>
  <c r="D8" i="3"/>
  <c r="D9" i="3"/>
  <c r="D3" i="3"/>
  <c r="D10" i="3" s="1"/>
  <c r="G2" i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D22" i="1"/>
  <c r="F2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B25" i="1"/>
  <c r="B24" i="1"/>
  <c r="E22" i="1"/>
  <c r="E2" i="1"/>
  <c r="E19" i="1"/>
  <c r="E20" i="1"/>
  <c r="E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D18" i="1"/>
  <c r="D19" i="1"/>
  <c r="D20" i="1"/>
  <c r="D2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B23" i="1"/>
  <c r="B22" i="1"/>
  <c r="F3" i="3" l="1"/>
  <c r="F4" i="3" s="1"/>
  <c r="F5" i="3" s="1"/>
  <c r="F6" i="3" s="1"/>
  <c r="F7" i="3" s="1"/>
  <c r="F8" i="3" s="1"/>
  <c r="F9" i="3" s="1"/>
  <c r="H3" i="3"/>
  <c r="I3" i="3" s="1"/>
  <c r="I10" i="3" s="1"/>
  <c r="B16" i="3" s="1"/>
</calcChain>
</file>

<file path=xl/sharedStrings.xml><?xml version="1.0" encoding="utf-8"?>
<sst xmlns="http://schemas.openxmlformats.org/spreadsheetml/2006/main" count="58" uniqueCount="43">
  <si>
    <t>sum</t>
  </si>
  <si>
    <t>mean</t>
  </si>
  <si>
    <t>x</t>
  </si>
  <si>
    <t>x-mean</t>
  </si>
  <si>
    <t>(x-mean)^2</t>
  </si>
  <si>
    <t>var</t>
  </si>
  <si>
    <t>std-dev</t>
  </si>
  <si>
    <t>fi=x/sum</t>
  </si>
  <si>
    <t>Dev-1-EXO-3</t>
  </si>
  <si>
    <t>EXO-1 - TD</t>
  </si>
  <si>
    <t>Fréqu fi(%)</t>
  </si>
  <si>
    <t>Effec Cumul</t>
  </si>
  <si>
    <t>Fréq cum</t>
  </si>
  <si>
    <t>ci</t>
  </si>
  <si>
    <t>ni * ci</t>
  </si>
  <si>
    <t>Effectifs ni</t>
  </si>
  <si>
    <t>sd</t>
  </si>
  <si>
    <t>ci^2</t>
  </si>
  <si>
    <t>ni * ci^2</t>
  </si>
  <si>
    <t xml:space="preserve">∑nici² </t>
  </si>
  <si>
    <t>(∑nici)²</t>
  </si>
  <si>
    <t>ni</t>
  </si>
  <si>
    <t>Exo-2-TD</t>
  </si>
  <si>
    <t>[25,2   25,4[</t>
  </si>
  <si>
    <t>ni* ci^2</t>
  </si>
  <si>
    <t>[24,9   25,1[</t>
  </si>
  <si>
    <t>[25,5   25,7[</t>
  </si>
  <si>
    <t>[25,8   26,0[</t>
  </si>
  <si>
    <t>[0,70    0,80[</t>
  </si>
  <si>
    <t>[0,80    0,90[</t>
  </si>
  <si>
    <t>[0,90    1,00[</t>
  </si>
  <si>
    <t>[1,00    1,10[</t>
  </si>
  <si>
    <t>[1,10    1,20[</t>
  </si>
  <si>
    <t>[1,20    1,30[</t>
  </si>
  <si>
    <t>[1,30    1,40[</t>
  </si>
  <si>
    <t>(42,75)^2</t>
  </si>
  <si>
    <t>Classes</t>
  </si>
  <si>
    <t>Q1</t>
  </si>
  <si>
    <t>Q2</t>
  </si>
  <si>
    <t>Q3</t>
  </si>
  <si>
    <t>IQR</t>
  </si>
  <si>
    <t>UL</t>
  </si>
  <si>
    <t>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</si>
</sst>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0.000"/>
    <numFmt numFmtId="169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6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66" fontId="1" fillId="0" borderId="0" xfId="0" applyNumberFormat="1" applyFont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0" fontId="0" fillId="6" borderId="0" xfId="0" applyFill="1"/>
    <xf numFmtId="2" fontId="0" fillId="3" borderId="0" xfId="0" applyNumberFormat="1" applyFill="1"/>
    <xf numFmtId="0" fontId="0" fillId="3" borderId="0" xfId="0" applyFill="1"/>
    <xf numFmtId="2" fontId="0" fillId="7" borderId="0" xfId="0" applyNumberFormat="1" applyFill="1"/>
    <xf numFmtId="0" fontId="0" fillId="7" borderId="0" xfId="0" applyFill="1"/>
    <xf numFmtId="0" fontId="0" fillId="8" borderId="0" xfId="0" applyFill="1"/>
    <xf numFmtId="169" fontId="1" fillId="2" borderId="1" xfId="0" applyNumberFormat="1" applyFont="1" applyFill="1" applyBorder="1"/>
    <xf numFmtId="0" fontId="0" fillId="2" borderId="2" xfId="0" applyFill="1" applyBorder="1"/>
    <xf numFmtId="2" fontId="1" fillId="2" borderId="3" xfId="0" applyNumberFormat="1" applyFont="1" applyFill="1" applyBorder="1"/>
    <xf numFmtId="0" fontId="1" fillId="2" borderId="4" xfId="0" applyFont="1" applyFill="1" applyBorder="1"/>
    <xf numFmtId="0" fontId="0" fillId="2" borderId="0" xfId="0" applyFill="1" applyBorder="1"/>
    <xf numFmtId="0" fontId="0" fillId="2" borderId="5" xfId="0" applyFill="1" applyBorder="1"/>
    <xf numFmtId="2" fontId="1" fillId="2" borderId="4" xfId="0" applyNumberFormat="1" applyFont="1" applyFill="1" applyBorder="1"/>
    <xf numFmtId="2" fontId="1" fillId="2" borderId="6" xfId="0" applyNumberFormat="1" applyFont="1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1" xfId="0" applyFont="1" applyFill="1" applyBorder="1"/>
    <xf numFmtId="169" fontId="0" fillId="2" borderId="2" xfId="0" applyNumberFormat="1" applyFill="1" applyBorder="1"/>
    <xf numFmtId="0" fontId="0" fillId="2" borderId="3" xfId="0" applyFill="1" applyBorder="1"/>
    <xf numFmtId="0" fontId="1" fillId="2" borderId="6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2" borderId="6" xfId="0" applyFill="1" applyBorder="1"/>
    <xf numFmtId="0" fontId="1" fillId="2" borderId="7" xfId="0" applyFont="1" applyFill="1" applyBorder="1"/>
    <xf numFmtId="0" fontId="1" fillId="2" borderId="8" xfId="0" applyFont="1" applyFill="1" applyBorder="1"/>
    <xf numFmtId="2" fontId="1" fillId="2" borderId="2" xfId="0" applyNumberFormat="1" applyFont="1" applyFill="1" applyBorder="1"/>
    <xf numFmtId="166" fontId="1" fillId="2" borderId="0" xfId="0" applyNumberFormat="1" applyFont="1" applyFill="1" applyBorder="1"/>
    <xf numFmtId="2" fontId="1" fillId="2" borderId="0" xfId="0" applyNumberFormat="1" applyFont="1" applyFill="1" applyBorder="1"/>
    <xf numFmtId="0" fontId="1" fillId="2" borderId="5" xfId="0" applyFont="1" applyFill="1" applyBorder="1"/>
    <xf numFmtId="2" fontId="1" fillId="2" borderId="7" xfId="0" applyNumberFormat="1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0" fillId="2" borderId="1" xfId="0" applyFill="1" applyBorder="1"/>
    <xf numFmtId="2" fontId="0" fillId="2" borderId="3" xfId="0" applyNumberFormat="1" applyFill="1" applyBorder="1"/>
    <xf numFmtId="169" fontId="0" fillId="2" borderId="4" xfId="0" applyNumberFormat="1" applyFill="1" applyBorder="1"/>
    <xf numFmtId="2" fontId="0" fillId="2" borderId="5" xfId="0" applyNumberFormat="1" applyFill="1" applyBorder="1"/>
    <xf numFmtId="0" fontId="0" fillId="2" borderId="4" xfId="0" applyFill="1" applyBorder="1"/>
    <xf numFmtId="2" fontId="0" fillId="2" borderId="8" xfId="0" applyNumberFormat="1" applyFill="1" applyBorder="1"/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8" borderId="0" xfId="0" applyFont="1" applyFill="1"/>
    <xf numFmtId="0" fontId="1" fillId="8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/>
    <xf numFmtId="2" fontId="1" fillId="3" borderId="0" xfId="0" applyNumberFormat="1" applyFont="1" applyFill="1"/>
    <xf numFmtId="0" fontId="1" fillId="5" borderId="0" xfId="0" applyFont="1" applyFill="1" applyAlignment="1">
      <alignment horizontal="center"/>
    </xf>
    <xf numFmtId="0" fontId="0" fillId="9" borderId="0" xfId="0" applyFill="1"/>
    <xf numFmtId="0" fontId="0" fillId="0" borderId="0" xfId="0" applyFont="1"/>
    <xf numFmtId="2" fontId="0" fillId="0" borderId="0" xfId="0" applyNumberFormat="1" applyFont="1"/>
    <xf numFmtId="2" fontId="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'Exo-1-TD'!$D$13:$D$20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</c:numCache>
            </c:numRef>
          </c:xVal>
          <c:yVal>
            <c:numRef>
              <c:f>'Exo-1-TD'!$E$13:$E$20</c:f>
              <c:numCache>
                <c:formatCode>General</c:formatCode>
                <c:ptCount val="8"/>
                <c:pt idx="0">
                  <c:v>0</c:v>
                </c:pt>
                <c:pt idx="1">
                  <c:v>0.1</c:v>
                </c:pt>
                <c:pt idx="2">
                  <c:v>0.24</c:v>
                </c:pt>
                <c:pt idx="3">
                  <c:v>0.37</c:v>
                </c:pt>
                <c:pt idx="4">
                  <c:v>0.61</c:v>
                </c:pt>
                <c:pt idx="5">
                  <c:v>0.8</c:v>
                </c:pt>
                <c:pt idx="6">
                  <c:v>0.95</c:v>
                </c:pt>
                <c:pt idx="7">
                  <c:v>1</c:v>
                </c:pt>
              </c:numCache>
            </c:numRef>
          </c:yVal>
          <c:smooth val="1"/>
        </c:ser>
        <c:dLbls>
          <c:showLegendKey val="0"/>
          <c:showVal val="1"/>
          <c:showCatName val="1"/>
          <c:showSerName val="0"/>
          <c:showPercent val="0"/>
          <c:showBubbleSize val="0"/>
        </c:dLbls>
        <c:axId val="97655552"/>
        <c:axId val="97652096"/>
      </c:scatterChart>
      <c:valAx>
        <c:axId val="9765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97652096"/>
        <c:crosses val="autoZero"/>
        <c:crossBetween val="midCat"/>
      </c:valAx>
      <c:valAx>
        <c:axId val="97652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7655552"/>
        <c:crosses val="autoZero"/>
        <c:crossBetween val="midCat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11</xdr:row>
      <xdr:rowOff>171450</xdr:rowOff>
    </xdr:from>
    <xdr:to>
      <xdr:col>12</xdr:col>
      <xdr:colOff>600075</xdr:colOff>
      <xdr:row>27</xdr:row>
      <xdr:rowOff>171450</xdr:rowOff>
    </xdr:to>
    <xdr:graphicFrame macro="">
      <xdr:nvGraphicFramePr>
        <xdr:cNvPr id="7" name="Graphique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6</xdr:col>
      <xdr:colOff>6424</xdr:colOff>
      <xdr:row>14</xdr:row>
      <xdr:rowOff>87014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ZoneTexte 22"/>
            <xdr:cNvSpPr txBox="1"/>
          </xdr:nvSpPr>
          <xdr:spPr>
            <a:xfrm>
              <a:off x="762000" y="2143125"/>
              <a:ext cx="3816424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fr-FR" sz="2400" b="1" i="0">
                  <a:solidFill>
                    <a:srgbClr val="FF0000"/>
                  </a:solidFill>
                </a:rPr>
                <a:t>s²</a:t>
              </a:r>
              <a:r>
                <a:rPr lang="fr-FR" sz="2400" b="1" i="0" baseline="0">
                  <a:solidFill>
                    <a:srgbClr val="FF0000"/>
                  </a:solidFill>
                </a:rPr>
                <a:t> </a:t>
              </a:r>
              <a:r>
                <a:rPr lang="fr-FR" sz="2400" i="0" baseline="0">
                  <a:solidFill>
                    <a:srgbClr val="FF0000"/>
                  </a:solidFill>
                </a:rPr>
                <a:t>=</a:t>
              </a:r>
              <a:r>
                <a:rPr lang="fr-FR" sz="2400" b="1" i="0" baseline="0">
                  <a:solidFill>
                    <a:srgbClr val="FF0000"/>
                  </a:solidFill>
                </a:rPr>
                <a:t> </a:t>
              </a:r>
              <a14:m>
                <m:oMath xmlns:m="http://schemas.openxmlformats.org/officeDocument/2006/math">
                  <m:f>
                    <m:fPr>
                      <m:ctrlP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</m:ctrlPr>
                    </m:fPr>
                    <m:num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∑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𝒏𝒊𝒙𝒊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² − 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𝟏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/</m:t>
                      </m:r>
                      <m:r>
                        <a:rPr lang="fr-FR" sz="2400" b="1" i="1" baseline="0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𝒏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(∑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𝒏𝒊𝒙𝒊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)²</m:t>
                      </m:r>
                      <m:r>
                        <m:rPr>
                          <m:nor/>
                        </m:rPr>
                        <a:rPr lang="fr-FR" sz="2400" b="1">
                          <a:solidFill>
                            <a:srgbClr val="FF0000"/>
                          </a:solidFill>
                          <a:effectLst/>
                        </a:rPr>
                        <m:t> </m:t>
                      </m:r>
                    </m:num>
                    <m:den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𝒏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 −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𝟏</m:t>
                      </m:r>
                    </m:den>
                  </m:f>
                </m:oMath>
              </a14:m>
              <a:endParaRPr lang="fr-FR" sz="24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4" name="ZoneTexte 22"/>
            <xdr:cNvSpPr txBox="1"/>
          </xdr:nvSpPr>
          <xdr:spPr>
            <a:xfrm>
              <a:off x="762000" y="2143125"/>
              <a:ext cx="3816424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fr-FR" sz="2400" b="1" i="0">
                  <a:solidFill>
                    <a:srgbClr val="FF0000"/>
                  </a:solidFill>
                </a:rPr>
                <a:t>s²</a:t>
              </a:r>
              <a:r>
                <a:rPr lang="fr-FR" sz="2400" b="1" i="0" baseline="0">
                  <a:solidFill>
                    <a:srgbClr val="FF0000"/>
                  </a:solidFill>
                </a:rPr>
                <a:t> </a:t>
              </a:r>
              <a:r>
                <a:rPr lang="fr-FR" sz="2400" i="0" baseline="0">
                  <a:solidFill>
                    <a:srgbClr val="FF0000"/>
                  </a:solidFill>
                </a:rPr>
                <a:t>=</a:t>
              </a:r>
              <a:r>
                <a:rPr lang="fr-FR" sz="2400" b="1" i="0" baseline="0">
                  <a:solidFill>
                    <a:srgbClr val="FF0000"/>
                  </a:solidFill>
                </a:rPr>
                <a:t> </a:t>
              </a:r>
              <a:r>
                <a:rPr lang="fr-FR" sz="2400" b="1" i="0">
                  <a:solidFill>
                    <a:srgbClr val="FF0000"/>
                  </a:solidFill>
                  <a:latin typeface="Cambria Math"/>
                </a:rPr>
                <a:t>(</a:t>
              </a:r>
              <a:r>
                <a:rPr lang="fr-FR" sz="2400" b="1" i="0">
                  <a:solidFill>
                    <a:srgbClr val="FF0000"/>
                  </a:solidFill>
                  <a:effectLst/>
                  <a:latin typeface="Cambria Math"/>
                </a:rPr>
                <a:t>∑𝒏𝒊𝒙𝒊² − 𝟏/</a:t>
              </a:r>
              <a:r>
                <a:rPr lang="fr-FR" sz="2400" b="1" i="0" baseline="0">
                  <a:solidFill>
                    <a:srgbClr val="FF0000"/>
                  </a:solidFill>
                  <a:effectLst/>
                  <a:latin typeface="Cambria Math"/>
                </a:rPr>
                <a:t>𝒏</a:t>
              </a:r>
              <a:r>
                <a:rPr lang="fr-FR" sz="2400" b="1" i="0">
                  <a:solidFill>
                    <a:srgbClr val="FF0000"/>
                  </a:solidFill>
                  <a:effectLst/>
                  <a:latin typeface="Cambria Math"/>
                </a:rPr>
                <a:t>(∑𝒏𝒊𝒙𝒊)²"</a:t>
              </a:r>
              <a:r>
                <a:rPr lang="fr-FR" sz="2400" b="1" i="0">
                  <a:solidFill>
                    <a:srgbClr val="FF0000"/>
                  </a:solidFill>
                  <a:effectLst/>
                </a:rPr>
                <a:t> </a:t>
              </a:r>
              <a:r>
                <a:rPr lang="fr-FR" sz="2400" b="1" i="0">
                  <a:solidFill>
                    <a:srgbClr val="FF0000"/>
                  </a:solidFill>
                  <a:effectLst/>
                  <a:latin typeface="Cambria Math"/>
                </a:rPr>
                <a:t>" )/(</a:t>
              </a:r>
              <a:r>
                <a:rPr lang="fr-FR" sz="2400" b="1" i="0">
                  <a:solidFill>
                    <a:srgbClr val="FF0000"/>
                  </a:solidFill>
                  <a:latin typeface="Cambria Math"/>
                </a:rPr>
                <a:t>𝒏 −𝟏)</a:t>
              </a:r>
              <a:endParaRPr lang="fr-FR" sz="2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twoCellAnchor>
  <xdr:twoCellAnchor>
    <xdr:from>
      <xdr:col>11</xdr:col>
      <xdr:colOff>0</xdr:colOff>
      <xdr:row>11</xdr:row>
      <xdr:rowOff>0</xdr:rowOff>
    </xdr:from>
    <xdr:to>
      <xdr:col>16</xdr:col>
      <xdr:colOff>6424</xdr:colOff>
      <xdr:row>14</xdr:row>
      <xdr:rowOff>87014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ZoneTexte 22"/>
            <xdr:cNvSpPr txBox="1"/>
          </xdr:nvSpPr>
          <xdr:spPr>
            <a:xfrm>
              <a:off x="8382000" y="2143125"/>
              <a:ext cx="3816424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fr-FR" sz="2400" b="1" i="0">
                  <a:solidFill>
                    <a:srgbClr val="FF0000"/>
                  </a:solidFill>
                </a:rPr>
                <a:t>s²</a:t>
              </a:r>
              <a:r>
                <a:rPr lang="fr-FR" sz="2400" b="1" i="0" baseline="0">
                  <a:solidFill>
                    <a:srgbClr val="FF0000"/>
                  </a:solidFill>
                </a:rPr>
                <a:t> = </a:t>
              </a:r>
              <a14:m>
                <m:oMath xmlns:m="http://schemas.openxmlformats.org/officeDocument/2006/math">
                  <m:f>
                    <m:fPr>
                      <m:ctrlP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</m:ctrlPr>
                    </m:fPr>
                    <m:num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∑(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𝒙𝒊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 −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𝒎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effectLst/>
                          <a:latin typeface="Cambria Math"/>
                        </a:rPr>
                        <m:t>)²</m:t>
                      </m:r>
                      <m:r>
                        <m:rPr>
                          <m:nor/>
                        </m:rPr>
                        <a:rPr lang="fr-FR" sz="2400" b="1">
                          <a:solidFill>
                            <a:srgbClr val="FF0000"/>
                          </a:solidFill>
                          <a:effectLst/>
                        </a:rPr>
                        <m:t> </m:t>
                      </m:r>
                    </m:num>
                    <m:den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𝒏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 −</m:t>
                      </m:r>
                      <m:r>
                        <a:rPr lang="fr-FR" sz="2400" b="1" i="1">
                          <a:solidFill>
                            <a:srgbClr val="FF0000"/>
                          </a:solidFill>
                          <a:latin typeface="Cambria Math"/>
                        </a:rPr>
                        <m:t>𝟏</m:t>
                      </m:r>
                    </m:den>
                  </m:f>
                </m:oMath>
              </a14:m>
              <a:endParaRPr lang="fr-FR" sz="2400" b="1">
                <a:solidFill>
                  <a:srgbClr val="FF0000"/>
                </a:solidFill>
              </a:endParaRPr>
            </a:p>
          </xdr:txBody>
        </xdr:sp>
      </mc:Choice>
      <mc:Fallback>
        <xdr:sp macro="" textlink="">
          <xdr:nvSpPr>
            <xdr:cNvPr id="5" name="ZoneTexte 22"/>
            <xdr:cNvSpPr txBox="1"/>
          </xdr:nvSpPr>
          <xdr:spPr>
            <a:xfrm>
              <a:off x="8382000" y="2143125"/>
              <a:ext cx="3816424" cy="6585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square" rtlCol="0" anchor="t">
              <a:spAutoFit/>
            </a:bodyPr>
            <a:lstStyle>
              <a:defPPr>
                <a:defRPr lang="fr-F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fr-FR" sz="2400" b="1" i="0">
                  <a:solidFill>
                    <a:srgbClr val="FF0000"/>
                  </a:solidFill>
                </a:rPr>
                <a:t>s²</a:t>
              </a:r>
              <a:r>
                <a:rPr lang="fr-FR" sz="2400" b="1" i="0" baseline="0">
                  <a:solidFill>
                    <a:srgbClr val="FF0000"/>
                  </a:solidFill>
                </a:rPr>
                <a:t> = </a:t>
              </a:r>
              <a:r>
                <a:rPr lang="fr-FR" sz="2400" b="1" i="0">
                  <a:solidFill>
                    <a:srgbClr val="FF0000"/>
                  </a:solidFill>
                  <a:latin typeface="Cambria Math"/>
                </a:rPr>
                <a:t>(</a:t>
              </a:r>
              <a:r>
                <a:rPr lang="fr-FR" sz="2400" b="1" i="0">
                  <a:solidFill>
                    <a:srgbClr val="FF0000"/>
                  </a:solidFill>
                  <a:effectLst/>
                  <a:latin typeface="Cambria Math"/>
                </a:rPr>
                <a:t>∑(𝒙𝒊 −𝒎)²"</a:t>
              </a:r>
              <a:r>
                <a:rPr lang="fr-FR" sz="2400" b="1" i="0">
                  <a:solidFill>
                    <a:srgbClr val="FF0000"/>
                  </a:solidFill>
                  <a:effectLst/>
                </a:rPr>
                <a:t> </a:t>
              </a:r>
              <a:r>
                <a:rPr lang="fr-FR" sz="2400" b="1" i="0">
                  <a:solidFill>
                    <a:srgbClr val="FF0000"/>
                  </a:solidFill>
                  <a:effectLst/>
                  <a:latin typeface="Cambria Math"/>
                </a:rPr>
                <a:t>" )/(</a:t>
              </a:r>
              <a:r>
                <a:rPr lang="fr-FR" sz="2400" b="1" i="0">
                  <a:solidFill>
                    <a:srgbClr val="FF0000"/>
                  </a:solidFill>
                  <a:latin typeface="Cambria Math"/>
                </a:rPr>
                <a:t>𝒏 −𝟏)</a:t>
              </a:r>
              <a:endParaRPr lang="fr-FR" sz="2400" b="1">
                <a:solidFill>
                  <a:srgbClr val="FF0000"/>
                </a:solidFill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G6" sqref="G6"/>
    </sheetView>
  </sheetViews>
  <sheetFormatPr baseColWidth="10" defaultRowHeight="15" x14ac:dyDescent="0.25"/>
  <cols>
    <col min="9" max="9" width="13.28515625" customWidth="1"/>
    <col min="10" max="10" width="10.7109375" customWidth="1"/>
  </cols>
  <sheetData>
    <row r="1" spans="1:11" x14ac:dyDescent="0.25">
      <c r="A1" s="11" t="s">
        <v>9</v>
      </c>
    </row>
    <row r="2" spans="1:11" x14ac:dyDescent="0.25">
      <c r="B2" s="54" t="s">
        <v>36</v>
      </c>
      <c r="C2" s="54" t="s">
        <v>15</v>
      </c>
      <c r="D2" s="55" t="s">
        <v>10</v>
      </c>
      <c r="E2" s="55" t="s">
        <v>11</v>
      </c>
      <c r="F2" s="55" t="s">
        <v>12</v>
      </c>
      <c r="G2" s="56" t="s">
        <v>13</v>
      </c>
      <c r="H2" s="56" t="s">
        <v>17</v>
      </c>
      <c r="I2" s="56" t="s">
        <v>18</v>
      </c>
      <c r="J2" s="56" t="s">
        <v>14</v>
      </c>
      <c r="K2" s="59"/>
    </row>
    <row r="3" spans="1:11" x14ac:dyDescent="0.25">
      <c r="B3" s="53" t="s">
        <v>28</v>
      </c>
      <c r="C3" s="16">
        <v>4</v>
      </c>
      <c r="D3" s="12">
        <f>C3/41</f>
        <v>9.7560975609756101E-2</v>
      </c>
      <c r="E3" s="13">
        <v>4</v>
      </c>
      <c r="F3" s="12">
        <f>D3</f>
        <v>9.7560975609756101E-2</v>
      </c>
      <c r="G3" s="15">
        <f>(0.7+0.8)/2</f>
        <v>0.75</v>
      </c>
      <c r="H3" s="14">
        <f>G3^2</f>
        <v>0.5625</v>
      </c>
      <c r="I3" s="14">
        <f>C3*H3</f>
        <v>2.25</v>
      </c>
      <c r="J3" s="15">
        <f>G3*C3</f>
        <v>3</v>
      </c>
      <c r="K3" s="9"/>
    </row>
    <row r="4" spans="1:11" x14ac:dyDescent="0.25">
      <c r="B4" s="53" t="s">
        <v>29</v>
      </c>
      <c r="C4" s="16">
        <v>6</v>
      </c>
      <c r="D4" s="12">
        <f t="shared" ref="D4:D9" si="0">C4/41</f>
        <v>0.14634146341463414</v>
      </c>
      <c r="E4" s="13">
        <f>E3+C4</f>
        <v>10</v>
      </c>
      <c r="F4" s="12">
        <f>F3+D4</f>
        <v>0.24390243902439024</v>
      </c>
      <c r="G4" s="15">
        <v>0.85</v>
      </c>
      <c r="H4" s="14">
        <f t="shared" ref="H4:H9" si="1">G4^2</f>
        <v>0.72249999999999992</v>
      </c>
      <c r="I4" s="14">
        <f t="shared" ref="I4:I9" si="2">C4*H4</f>
        <v>4.3349999999999991</v>
      </c>
      <c r="J4" s="15">
        <f t="shared" ref="J4:J9" si="3">G4*C4</f>
        <v>5.0999999999999996</v>
      </c>
      <c r="K4" s="9"/>
    </row>
    <row r="5" spans="1:11" x14ac:dyDescent="0.25">
      <c r="B5" s="53" t="s">
        <v>30</v>
      </c>
      <c r="C5" s="16">
        <v>5</v>
      </c>
      <c r="D5" s="12">
        <f t="shared" si="0"/>
        <v>0.12195121951219512</v>
      </c>
      <c r="E5" s="13">
        <f t="shared" ref="E5:E9" si="4">E4+C5</f>
        <v>15</v>
      </c>
      <c r="F5" s="12">
        <f t="shared" ref="F5:F9" si="5">F4+D5</f>
        <v>0.36585365853658536</v>
      </c>
      <c r="G5" s="15">
        <v>0.95</v>
      </c>
      <c r="H5" s="14">
        <f t="shared" si="1"/>
        <v>0.90249999999999997</v>
      </c>
      <c r="I5" s="14">
        <f t="shared" si="2"/>
        <v>4.5125000000000002</v>
      </c>
      <c r="J5" s="15">
        <f t="shared" si="3"/>
        <v>4.75</v>
      </c>
      <c r="K5" s="9"/>
    </row>
    <row r="6" spans="1:11" x14ac:dyDescent="0.25">
      <c r="B6" s="53" t="s">
        <v>31</v>
      </c>
      <c r="C6" s="16">
        <v>10</v>
      </c>
      <c r="D6" s="12">
        <f t="shared" si="0"/>
        <v>0.24390243902439024</v>
      </c>
      <c r="E6" s="13">
        <f t="shared" si="4"/>
        <v>25</v>
      </c>
      <c r="F6" s="12">
        <f t="shared" si="5"/>
        <v>0.6097560975609756</v>
      </c>
      <c r="G6" s="15">
        <v>1.05</v>
      </c>
      <c r="H6" s="14">
        <f t="shared" si="1"/>
        <v>1.1025</v>
      </c>
      <c r="I6" s="14">
        <f t="shared" si="2"/>
        <v>11.025</v>
      </c>
      <c r="J6" s="15">
        <f t="shared" si="3"/>
        <v>10.5</v>
      </c>
      <c r="K6" s="9"/>
    </row>
    <row r="7" spans="1:11" x14ac:dyDescent="0.25">
      <c r="B7" s="53" t="s">
        <v>32</v>
      </c>
      <c r="C7" s="16">
        <v>8</v>
      </c>
      <c r="D7" s="12">
        <f t="shared" si="0"/>
        <v>0.1951219512195122</v>
      </c>
      <c r="E7" s="13">
        <f t="shared" si="4"/>
        <v>33</v>
      </c>
      <c r="F7" s="12">
        <f t="shared" si="5"/>
        <v>0.80487804878048785</v>
      </c>
      <c r="G7" s="15">
        <v>1.1499999999999999</v>
      </c>
      <c r="H7" s="14">
        <f t="shared" si="1"/>
        <v>1.3224999999999998</v>
      </c>
      <c r="I7" s="14">
        <f t="shared" si="2"/>
        <v>10.579999999999998</v>
      </c>
      <c r="J7" s="15">
        <f t="shared" si="3"/>
        <v>9.1999999999999993</v>
      </c>
      <c r="K7" s="9"/>
    </row>
    <row r="8" spans="1:11" x14ac:dyDescent="0.25">
      <c r="B8" s="53" t="s">
        <v>33</v>
      </c>
      <c r="C8" s="16">
        <v>6</v>
      </c>
      <c r="D8" s="12">
        <f t="shared" si="0"/>
        <v>0.14634146341463414</v>
      </c>
      <c r="E8" s="13">
        <f t="shared" si="4"/>
        <v>39</v>
      </c>
      <c r="F8" s="12">
        <f t="shared" si="5"/>
        <v>0.95121951219512202</v>
      </c>
      <c r="G8" s="15">
        <v>1.25</v>
      </c>
      <c r="H8" s="14">
        <f t="shared" si="1"/>
        <v>1.5625</v>
      </c>
      <c r="I8" s="14">
        <f t="shared" si="2"/>
        <v>9.375</v>
      </c>
      <c r="J8" s="15">
        <f t="shared" si="3"/>
        <v>7.5</v>
      </c>
      <c r="K8" s="9"/>
    </row>
    <row r="9" spans="1:11" x14ac:dyDescent="0.25">
      <c r="B9" s="53" t="s">
        <v>34</v>
      </c>
      <c r="C9" s="16">
        <v>2</v>
      </c>
      <c r="D9" s="12">
        <f t="shared" si="0"/>
        <v>4.878048780487805E-2</v>
      </c>
      <c r="E9" s="57">
        <f t="shared" si="4"/>
        <v>41</v>
      </c>
      <c r="F9" s="58">
        <f t="shared" si="5"/>
        <v>1</v>
      </c>
      <c r="G9" s="15">
        <v>1.35</v>
      </c>
      <c r="H9" s="14">
        <f t="shared" si="1"/>
        <v>1.8225000000000002</v>
      </c>
      <c r="I9" s="14">
        <f t="shared" si="2"/>
        <v>3.6450000000000005</v>
      </c>
      <c r="J9" s="15">
        <f t="shared" si="3"/>
        <v>2.7</v>
      </c>
      <c r="K9" s="9"/>
    </row>
    <row r="10" spans="1:11" x14ac:dyDescent="0.25">
      <c r="B10" s="2"/>
      <c r="C10" s="2">
        <v>41</v>
      </c>
      <c r="D10" s="6">
        <f>SUM(D3:D9)</f>
        <v>1</v>
      </c>
      <c r="E10" s="2"/>
      <c r="F10" s="2"/>
      <c r="G10" s="2"/>
      <c r="H10" s="2"/>
      <c r="I10" s="6">
        <f>SUM(I3:I9)</f>
        <v>45.722500000000004</v>
      </c>
      <c r="J10" s="6">
        <f>SUM(J3:J9)</f>
        <v>42.75</v>
      </c>
      <c r="K10" s="6"/>
    </row>
    <row r="11" spans="1:11" x14ac:dyDescent="0.25">
      <c r="A11" s="2" t="s">
        <v>1</v>
      </c>
      <c r="B11" s="6">
        <f>J10/41</f>
        <v>1.0426829268292683</v>
      </c>
      <c r="J11" s="5"/>
    </row>
    <row r="12" spans="1:11" x14ac:dyDescent="0.25">
      <c r="B12" s="5"/>
    </row>
    <row r="13" spans="1:11" x14ac:dyDescent="0.25">
      <c r="A13" s="61" t="s">
        <v>19</v>
      </c>
      <c r="B13" s="62">
        <v>45.72</v>
      </c>
      <c r="D13" s="60">
        <v>0</v>
      </c>
      <c r="E13" s="60">
        <v>0</v>
      </c>
      <c r="F13" s="60">
        <v>0.7</v>
      </c>
    </row>
    <row r="14" spans="1:11" x14ac:dyDescent="0.25">
      <c r="A14" s="61" t="s">
        <v>20</v>
      </c>
      <c r="B14" s="63" t="s">
        <v>35</v>
      </c>
      <c r="D14" s="60">
        <v>0.1</v>
      </c>
      <c r="E14" s="60">
        <v>0.1</v>
      </c>
      <c r="F14" s="60">
        <v>0.8</v>
      </c>
    </row>
    <row r="15" spans="1:11" x14ac:dyDescent="0.25">
      <c r="A15" s="2"/>
      <c r="B15" s="5"/>
      <c r="D15" s="60">
        <v>0.2</v>
      </c>
      <c r="E15" s="60">
        <v>0.24</v>
      </c>
      <c r="F15" s="60">
        <v>0.9</v>
      </c>
    </row>
    <row r="16" spans="1:11" x14ac:dyDescent="0.25">
      <c r="A16" s="2" t="s">
        <v>5</v>
      </c>
      <c r="B16" s="7">
        <f>(I10-((J10)^2)/41)/40</f>
        <v>2.8695121951219527E-2</v>
      </c>
      <c r="D16" s="60">
        <v>0.3</v>
      </c>
      <c r="E16" s="60">
        <v>0.37</v>
      </c>
      <c r="F16" s="60">
        <v>1</v>
      </c>
    </row>
    <row r="17" spans="1:6" x14ac:dyDescent="0.25">
      <c r="A17" s="2" t="s">
        <v>16</v>
      </c>
      <c r="B17" s="6">
        <f>SQRT(0.029)</f>
        <v>0.17029386365926402</v>
      </c>
      <c r="D17" s="60">
        <v>0.4</v>
      </c>
      <c r="E17" s="60">
        <v>0.61</v>
      </c>
      <c r="F17" s="60">
        <v>1.1000000000000001</v>
      </c>
    </row>
    <row r="18" spans="1:6" x14ac:dyDescent="0.25">
      <c r="A18" s="2" t="s">
        <v>37</v>
      </c>
      <c r="B18" s="2">
        <f>QUARTILE(F13:F20,1)</f>
        <v>0.875</v>
      </c>
      <c r="D18" s="60">
        <v>0.5</v>
      </c>
      <c r="E18" s="60">
        <v>0.8</v>
      </c>
      <c r="F18" s="60">
        <v>1.2</v>
      </c>
    </row>
    <row r="19" spans="1:6" x14ac:dyDescent="0.25">
      <c r="A19" s="2" t="s">
        <v>38</v>
      </c>
      <c r="B19" s="2">
        <f>QUARTILE(F13:F20,2)</f>
        <v>1.05</v>
      </c>
      <c r="D19" s="60">
        <v>0.6</v>
      </c>
      <c r="E19" s="60">
        <v>0.95</v>
      </c>
      <c r="F19" s="60">
        <v>1.3</v>
      </c>
    </row>
    <row r="20" spans="1:6" x14ac:dyDescent="0.25">
      <c r="A20" s="2" t="s">
        <v>39</v>
      </c>
      <c r="B20" s="2">
        <f>QUARTILE(F13:F20,3)</f>
        <v>1.2250000000000001</v>
      </c>
      <c r="D20" s="60">
        <v>0.7</v>
      </c>
      <c r="E20" s="60">
        <v>1</v>
      </c>
      <c r="F20" s="60">
        <v>1.4</v>
      </c>
    </row>
    <row r="21" spans="1:6" x14ac:dyDescent="0.25">
      <c r="A21" s="2" t="s">
        <v>40</v>
      </c>
      <c r="B21" s="2">
        <f>B20-B18</f>
        <v>0.35000000000000009</v>
      </c>
    </row>
    <row r="22" spans="1:6" x14ac:dyDescent="0.25">
      <c r="A22" s="2" t="s">
        <v>41</v>
      </c>
      <c r="B22" s="2">
        <f>1.5*B21+B20</f>
        <v>1.7500000000000002</v>
      </c>
    </row>
    <row r="23" spans="1:6" x14ac:dyDescent="0.25">
      <c r="A23" s="2" t="s">
        <v>42</v>
      </c>
      <c r="B23" s="2">
        <f>-1.5*B21+B18</f>
        <v>0.34999999999999987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E19" sqref="E19"/>
    </sheetView>
  </sheetViews>
  <sheetFormatPr baseColWidth="10" defaultRowHeight="15" x14ac:dyDescent="0.25"/>
  <sheetData>
    <row r="1" spans="1:10" ht="15.75" thickBot="1" x14ac:dyDescent="0.3">
      <c r="A1" s="11" t="s">
        <v>22</v>
      </c>
      <c r="H1" s="41" t="s">
        <v>2</v>
      </c>
      <c r="I1" s="42" t="s">
        <v>3</v>
      </c>
      <c r="J1" s="43" t="s">
        <v>4</v>
      </c>
    </row>
    <row r="2" spans="1:10" ht="15.75" thickBot="1" x14ac:dyDescent="0.3">
      <c r="B2" s="50"/>
      <c r="C2" s="51" t="s">
        <v>13</v>
      </c>
      <c r="D2" s="51" t="s">
        <v>21</v>
      </c>
      <c r="E2" s="51" t="s">
        <v>14</v>
      </c>
      <c r="F2" s="52" t="s">
        <v>24</v>
      </c>
      <c r="H2" s="44">
        <v>24.9</v>
      </c>
      <c r="I2" s="18">
        <f>H2-25.44</f>
        <v>-0.5400000000000027</v>
      </c>
      <c r="J2" s="45">
        <f>I2^2</f>
        <v>0.29160000000000291</v>
      </c>
    </row>
    <row r="3" spans="1:10" x14ac:dyDescent="0.25">
      <c r="B3" s="27" t="s">
        <v>25</v>
      </c>
      <c r="C3" s="28">
        <v>25</v>
      </c>
      <c r="D3" s="18">
        <v>4</v>
      </c>
      <c r="E3" s="18">
        <f>C3*D3</f>
        <v>100</v>
      </c>
      <c r="F3" s="29">
        <f>E3*C3</f>
        <v>2500</v>
      </c>
      <c r="H3" s="46">
        <v>25</v>
      </c>
      <c r="I3" s="21">
        <f t="shared" ref="I3:I26" si="0">H3-25.44</f>
        <v>-0.44000000000000128</v>
      </c>
      <c r="J3" s="47">
        <f t="shared" ref="J3:J26" si="1">I3^2</f>
        <v>0.19360000000000113</v>
      </c>
    </row>
    <row r="4" spans="1:10" x14ac:dyDescent="0.25">
      <c r="B4" s="20" t="s">
        <v>23</v>
      </c>
      <c r="C4" s="21">
        <v>25.3</v>
      </c>
      <c r="D4" s="21">
        <v>9</v>
      </c>
      <c r="E4" s="21">
        <f t="shared" ref="E4:E6" si="2">C4*D4</f>
        <v>227.70000000000002</v>
      </c>
      <c r="F4" s="22">
        <f t="shared" ref="F4:F6" si="3">E4*C4</f>
        <v>5760.81</v>
      </c>
      <c r="G4" s="1"/>
      <c r="H4" s="46">
        <v>25</v>
      </c>
      <c r="I4" s="21">
        <f t="shared" si="0"/>
        <v>-0.44000000000000128</v>
      </c>
      <c r="J4" s="47">
        <f t="shared" si="1"/>
        <v>0.19360000000000113</v>
      </c>
    </row>
    <row r="5" spans="1:10" x14ac:dyDescent="0.25">
      <c r="B5" s="20" t="s">
        <v>26</v>
      </c>
      <c r="C5" s="21">
        <v>25.6</v>
      </c>
      <c r="D5" s="21">
        <v>8</v>
      </c>
      <c r="E5" s="21">
        <f t="shared" si="2"/>
        <v>204.8</v>
      </c>
      <c r="F5" s="22">
        <f t="shared" si="3"/>
        <v>5242.880000000001</v>
      </c>
      <c r="G5" s="1"/>
      <c r="H5" s="48">
        <v>25.1</v>
      </c>
      <c r="I5" s="21">
        <f t="shared" si="0"/>
        <v>-0.33999999999999986</v>
      </c>
      <c r="J5" s="47">
        <f t="shared" si="1"/>
        <v>0.1155999999999999</v>
      </c>
    </row>
    <row r="6" spans="1:10" ht="15.75" thickBot="1" x14ac:dyDescent="0.3">
      <c r="B6" s="30" t="s">
        <v>27</v>
      </c>
      <c r="C6" s="25">
        <v>25.9</v>
      </c>
      <c r="D6" s="25">
        <v>4</v>
      </c>
      <c r="E6" s="25">
        <f t="shared" si="2"/>
        <v>103.6</v>
      </c>
      <c r="F6" s="26">
        <f t="shared" si="3"/>
        <v>2683.24</v>
      </c>
      <c r="G6" s="1"/>
      <c r="H6" s="48">
        <v>25.2</v>
      </c>
      <c r="I6" s="21">
        <f t="shared" si="0"/>
        <v>-0.24000000000000199</v>
      </c>
      <c r="J6" s="47">
        <f t="shared" si="1"/>
        <v>5.7600000000000956E-2</v>
      </c>
    </row>
    <row r="7" spans="1:10" ht="15.75" thickBot="1" x14ac:dyDescent="0.3">
      <c r="B7" s="33"/>
      <c r="C7" s="25"/>
      <c r="D7" s="34">
        <f>SUM(D3:D6)</f>
        <v>25</v>
      </c>
      <c r="E7" s="34">
        <f>SUM(E3:E6)</f>
        <v>636.1</v>
      </c>
      <c r="F7" s="35">
        <f>SUM(F3:F6)</f>
        <v>16186.930000000002</v>
      </c>
      <c r="G7" s="2"/>
      <c r="H7" s="48">
        <v>25.2</v>
      </c>
      <c r="I7" s="21">
        <f t="shared" si="0"/>
        <v>-0.24000000000000199</v>
      </c>
      <c r="J7" s="47">
        <f t="shared" si="1"/>
        <v>5.7600000000000956E-2</v>
      </c>
    </row>
    <row r="8" spans="1:10" x14ac:dyDescent="0.25">
      <c r="B8" s="27" t="s">
        <v>1</v>
      </c>
      <c r="C8" s="36">
        <f>E7/D7</f>
        <v>25.444000000000003</v>
      </c>
      <c r="D8" s="18"/>
      <c r="E8" s="31"/>
      <c r="F8" s="32"/>
      <c r="H8" s="48">
        <v>25.3</v>
      </c>
      <c r="I8" s="21">
        <f t="shared" si="0"/>
        <v>-0.14000000000000057</v>
      </c>
      <c r="J8" s="47">
        <f t="shared" si="1"/>
        <v>1.9600000000000159E-2</v>
      </c>
    </row>
    <row r="9" spans="1:10" x14ac:dyDescent="0.25">
      <c r="B9" s="20" t="s">
        <v>5</v>
      </c>
      <c r="C9" s="37">
        <f>(F7-(E7^2/25))/24</f>
        <v>8.3400000000059052E-2</v>
      </c>
      <c r="D9" s="21"/>
      <c r="E9" s="38"/>
      <c r="F9" s="39"/>
      <c r="H9" s="48">
        <v>25.3</v>
      </c>
      <c r="I9" s="21">
        <f t="shared" si="0"/>
        <v>-0.14000000000000057</v>
      </c>
      <c r="J9" s="47">
        <f t="shared" si="1"/>
        <v>1.9600000000000159E-2</v>
      </c>
    </row>
    <row r="10" spans="1:10" ht="15.75" thickBot="1" x14ac:dyDescent="0.3">
      <c r="B10" s="30" t="s">
        <v>16</v>
      </c>
      <c r="C10" s="40">
        <f>SQRT(C9)</f>
        <v>0.28879058156397525</v>
      </c>
      <c r="D10" s="25"/>
      <c r="E10" s="25"/>
      <c r="F10" s="26"/>
      <c r="H10" s="48">
        <v>25.3</v>
      </c>
      <c r="I10" s="21">
        <f t="shared" si="0"/>
        <v>-0.14000000000000057</v>
      </c>
      <c r="J10" s="47">
        <f t="shared" si="1"/>
        <v>1.9600000000000159E-2</v>
      </c>
    </row>
    <row r="11" spans="1:10" x14ac:dyDescent="0.25">
      <c r="H11" s="48">
        <v>25.4</v>
      </c>
      <c r="I11" s="21">
        <f t="shared" si="0"/>
        <v>-4.00000000000027E-2</v>
      </c>
      <c r="J11" s="47">
        <f t="shared" si="1"/>
        <v>1.600000000000216E-3</v>
      </c>
    </row>
    <row r="12" spans="1:10" x14ac:dyDescent="0.25">
      <c r="H12" s="48">
        <v>25.4</v>
      </c>
      <c r="I12" s="21">
        <f t="shared" si="0"/>
        <v>-4.00000000000027E-2</v>
      </c>
      <c r="J12" s="47">
        <f t="shared" si="1"/>
        <v>1.600000000000216E-3</v>
      </c>
    </row>
    <row r="13" spans="1:10" x14ac:dyDescent="0.25">
      <c r="H13" s="48">
        <v>25.4</v>
      </c>
      <c r="I13" s="21">
        <f t="shared" si="0"/>
        <v>-4.00000000000027E-2</v>
      </c>
      <c r="J13" s="47">
        <f t="shared" si="1"/>
        <v>1.600000000000216E-3</v>
      </c>
    </row>
    <row r="14" spans="1:10" x14ac:dyDescent="0.25">
      <c r="H14" s="48">
        <v>25.4</v>
      </c>
      <c r="I14" s="21">
        <f t="shared" si="0"/>
        <v>-4.00000000000027E-2</v>
      </c>
      <c r="J14" s="47">
        <f t="shared" si="1"/>
        <v>1.600000000000216E-3</v>
      </c>
    </row>
    <row r="15" spans="1:10" x14ac:dyDescent="0.25">
      <c r="H15" s="48">
        <v>25.5</v>
      </c>
      <c r="I15" s="21">
        <f t="shared" si="0"/>
        <v>5.9999999999998721E-2</v>
      </c>
      <c r="J15" s="47">
        <f t="shared" si="1"/>
        <v>3.5999999999998464E-3</v>
      </c>
    </row>
    <row r="16" spans="1:10" x14ac:dyDescent="0.25">
      <c r="H16" s="48">
        <v>25.5</v>
      </c>
      <c r="I16" s="21">
        <f t="shared" si="0"/>
        <v>5.9999999999998721E-2</v>
      </c>
      <c r="J16" s="47">
        <f t="shared" si="1"/>
        <v>3.5999999999998464E-3</v>
      </c>
    </row>
    <row r="17" spans="7:10" x14ac:dyDescent="0.25">
      <c r="H17" s="48">
        <v>25.5</v>
      </c>
      <c r="I17" s="21">
        <f t="shared" si="0"/>
        <v>5.9999999999998721E-2</v>
      </c>
      <c r="J17" s="47">
        <f t="shared" si="1"/>
        <v>3.5999999999998464E-3</v>
      </c>
    </row>
    <row r="18" spans="7:10" x14ac:dyDescent="0.25">
      <c r="H18" s="48">
        <v>25.6</v>
      </c>
      <c r="I18" s="21">
        <f t="shared" si="0"/>
        <v>0.16000000000000014</v>
      </c>
      <c r="J18" s="47">
        <f t="shared" si="1"/>
        <v>2.5600000000000046E-2</v>
      </c>
    </row>
    <row r="19" spans="7:10" x14ac:dyDescent="0.25">
      <c r="H19" s="48">
        <v>25.6</v>
      </c>
      <c r="I19" s="21">
        <f t="shared" si="0"/>
        <v>0.16000000000000014</v>
      </c>
      <c r="J19" s="47">
        <f t="shared" si="1"/>
        <v>2.5600000000000046E-2</v>
      </c>
    </row>
    <row r="20" spans="7:10" x14ac:dyDescent="0.25">
      <c r="H20" s="48">
        <v>25.6</v>
      </c>
      <c r="I20" s="21">
        <f t="shared" si="0"/>
        <v>0.16000000000000014</v>
      </c>
      <c r="J20" s="47">
        <f t="shared" si="1"/>
        <v>2.5600000000000046E-2</v>
      </c>
    </row>
    <row r="21" spans="7:10" x14ac:dyDescent="0.25">
      <c r="H21" s="48">
        <v>25.7</v>
      </c>
      <c r="I21" s="21">
        <f t="shared" si="0"/>
        <v>0.25999999999999801</v>
      </c>
      <c r="J21" s="47">
        <f t="shared" si="1"/>
        <v>6.7599999999998966E-2</v>
      </c>
    </row>
    <row r="22" spans="7:10" x14ac:dyDescent="0.25">
      <c r="H22" s="48">
        <v>25.7</v>
      </c>
      <c r="I22" s="21">
        <f t="shared" si="0"/>
        <v>0.25999999999999801</v>
      </c>
      <c r="J22" s="47">
        <f t="shared" si="1"/>
        <v>6.7599999999998966E-2</v>
      </c>
    </row>
    <row r="23" spans="7:10" x14ac:dyDescent="0.25">
      <c r="H23" s="48">
        <v>25.8</v>
      </c>
      <c r="I23" s="21">
        <f t="shared" si="0"/>
        <v>0.35999999999999943</v>
      </c>
      <c r="J23" s="47">
        <f t="shared" si="1"/>
        <v>0.1295999999999996</v>
      </c>
    </row>
    <row r="24" spans="7:10" x14ac:dyDescent="0.25">
      <c r="H24" s="48">
        <v>25.8</v>
      </c>
      <c r="I24" s="21">
        <f t="shared" si="0"/>
        <v>0.35999999999999943</v>
      </c>
      <c r="J24" s="47">
        <f t="shared" si="1"/>
        <v>0.1295999999999996</v>
      </c>
    </row>
    <row r="25" spans="7:10" x14ac:dyDescent="0.25">
      <c r="H25" s="48">
        <v>25.9</v>
      </c>
      <c r="I25" s="21">
        <f t="shared" si="0"/>
        <v>0.4599999999999973</v>
      </c>
      <c r="J25" s="47">
        <f t="shared" si="1"/>
        <v>0.21159999999999751</v>
      </c>
    </row>
    <row r="26" spans="7:10" ht="15.75" thickBot="1" x14ac:dyDescent="0.3">
      <c r="H26" s="33">
        <v>25.9</v>
      </c>
      <c r="I26" s="25">
        <f t="shared" si="0"/>
        <v>0.4599999999999973</v>
      </c>
      <c r="J26" s="49">
        <f t="shared" si="1"/>
        <v>0.21159999999999751</v>
      </c>
    </row>
    <row r="27" spans="7:10" x14ac:dyDescent="0.25">
      <c r="G27" s="2" t="s">
        <v>0</v>
      </c>
      <c r="H27" s="17">
        <f>SUM(H2:H26)</f>
        <v>635.99999999999989</v>
      </c>
      <c r="I27" s="18"/>
      <c r="J27" s="19">
        <f>SUM(J2:J26)</f>
        <v>1.8800000000000003</v>
      </c>
    </row>
    <row r="28" spans="7:10" x14ac:dyDescent="0.25">
      <c r="G28" s="2" t="s">
        <v>1</v>
      </c>
      <c r="H28" s="20">
        <f>H27/25</f>
        <v>25.439999999999994</v>
      </c>
      <c r="I28" s="21"/>
      <c r="J28" s="22"/>
    </row>
    <row r="29" spans="7:10" x14ac:dyDescent="0.25">
      <c r="G29" s="2" t="s">
        <v>5</v>
      </c>
      <c r="H29" s="23">
        <f>J27/24</f>
        <v>7.8333333333333352E-2</v>
      </c>
      <c r="I29" s="21"/>
      <c r="J29" s="22"/>
    </row>
    <row r="30" spans="7:10" ht="15.75" thickBot="1" x14ac:dyDescent="0.3">
      <c r="G30" s="2" t="s">
        <v>16</v>
      </c>
      <c r="H30" s="24">
        <f>SQRT(H29)</f>
        <v>0.27988092706244444</v>
      </c>
      <c r="I30" s="25"/>
      <c r="J30" s="2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activeCell="K10" sqref="K10"/>
    </sheetView>
  </sheetViews>
  <sheetFormatPr baseColWidth="10" defaultRowHeight="15" x14ac:dyDescent="0.25"/>
  <cols>
    <col min="1" max="1" width="15.140625" customWidth="1"/>
  </cols>
  <sheetData>
    <row r="1" spans="1:7" x14ac:dyDescent="0.25">
      <c r="A1" s="10" t="s">
        <v>8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7</v>
      </c>
    </row>
    <row r="2" spans="1:7" x14ac:dyDescent="0.25">
      <c r="B2" s="8">
        <v>0.5</v>
      </c>
      <c r="C2">
        <v>9.9250000000000007</v>
      </c>
      <c r="D2">
        <f>B2-C2</f>
        <v>-9.4250000000000007</v>
      </c>
      <c r="E2" s="5">
        <f>D2^2</f>
        <v>88.830625000000012</v>
      </c>
      <c r="F2" s="4">
        <f>B2/198.5</f>
        <v>2.5188916876574307E-3</v>
      </c>
      <c r="G2" s="4">
        <f>G1+F2</f>
        <v>2.5188916876574307E-3</v>
      </c>
    </row>
    <row r="3" spans="1:7" x14ac:dyDescent="0.25">
      <c r="B3" s="8">
        <v>1</v>
      </c>
      <c r="C3" s="1">
        <v>9.9250000000000007</v>
      </c>
      <c r="D3" s="1">
        <f t="shared" ref="D3:D21" si="0">B3-C3</f>
        <v>-8.9250000000000007</v>
      </c>
      <c r="E3" s="5">
        <f t="shared" ref="E3:E21" si="1">D3^2</f>
        <v>79.655625000000015</v>
      </c>
      <c r="F3" s="4">
        <f t="shared" ref="F3:F21" si="2">B3/198.5</f>
        <v>5.0377833753148613E-3</v>
      </c>
      <c r="G3" s="4">
        <f t="shared" ref="G3:G21" si="3">G2+F3</f>
        <v>7.556675062972292E-3</v>
      </c>
    </row>
    <row r="4" spans="1:7" x14ac:dyDescent="0.25">
      <c r="B4" s="8">
        <v>1</v>
      </c>
      <c r="C4" s="1">
        <v>9.9250000000000007</v>
      </c>
      <c r="D4" s="1">
        <f t="shared" si="0"/>
        <v>-8.9250000000000007</v>
      </c>
      <c r="E4" s="5">
        <f t="shared" si="1"/>
        <v>79.655625000000015</v>
      </c>
      <c r="F4" s="4">
        <f t="shared" si="2"/>
        <v>5.0377833753148613E-3</v>
      </c>
      <c r="G4" s="4">
        <f t="shared" si="3"/>
        <v>1.2594458438287152E-2</v>
      </c>
    </row>
    <row r="5" spans="1:7" x14ac:dyDescent="0.25">
      <c r="B5" s="8">
        <v>2</v>
      </c>
      <c r="C5" s="1">
        <v>9.9250000000000007</v>
      </c>
      <c r="D5" s="1">
        <f t="shared" si="0"/>
        <v>-7.9250000000000007</v>
      </c>
      <c r="E5" s="5">
        <f t="shared" si="1"/>
        <v>62.805625000000013</v>
      </c>
      <c r="F5" s="4">
        <f t="shared" si="2"/>
        <v>1.0075566750629723E-2</v>
      </c>
      <c r="G5" s="4">
        <f t="shared" si="3"/>
        <v>2.2670025188916875E-2</v>
      </c>
    </row>
    <row r="6" spans="1:7" x14ac:dyDescent="0.25">
      <c r="B6" s="8">
        <v>2</v>
      </c>
      <c r="C6" s="1">
        <v>9.9250000000000007</v>
      </c>
      <c r="D6" s="1">
        <f t="shared" si="0"/>
        <v>-7.9250000000000007</v>
      </c>
      <c r="E6" s="5">
        <f t="shared" si="1"/>
        <v>62.805625000000013</v>
      </c>
      <c r="F6" s="4">
        <f t="shared" si="2"/>
        <v>1.0075566750629723E-2</v>
      </c>
      <c r="G6" s="4">
        <f t="shared" si="3"/>
        <v>3.2745591939546598E-2</v>
      </c>
    </row>
    <row r="7" spans="1:7" x14ac:dyDescent="0.25">
      <c r="B7" s="8">
        <v>2</v>
      </c>
      <c r="C7" s="1">
        <v>9.9250000000000007</v>
      </c>
      <c r="D7" s="1">
        <f t="shared" si="0"/>
        <v>-7.9250000000000007</v>
      </c>
      <c r="E7" s="5">
        <f t="shared" si="1"/>
        <v>62.805625000000013</v>
      </c>
      <c r="F7" s="4">
        <f t="shared" si="2"/>
        <v>1.0075566750629723E-2</v>
      </c>
      <c r="G7" s="4">
        <f t="shared" si="3"/>
        <v>4.2821158690176317E-2</v>
      </c>
    </row>
    <row r="8" spans="1:7" x14ac:dyDescent="0.25">
      <c r="B8" s="8">
        <v>2</v>
      </c>
      <c r="C8" s="1">
        <v>9.9250000000000007</v>
      </c>
      <c r="D8" s="1">
        <f t="shared" si="0"/>
        <v>-7.9250000000000007</v>
      </c>
      <c r="E8" s="5">
        <f t="shared" si="1"/>
        <v>62.805625000000013</v>
      </c>
      <c r="F8" s="4">
        <f t="shared" si="2"/>
        <v>1.0075566750629723E-2</v>
      </c>
      <c r="G8" s="4">
        <f t="shared" si="3"/>
        <v>5.2896725440806036E-2</v>
      </c>
    </row>
    <row r="9" spans="1:7" x14ac:dyDescent="0.25">
      <c r="B9" s="8">
        <v>4</v>
      </c>
      <c r="C9" s="1">
        <v>9.9250000000000007</v>
      </c>
      <c r="D9" s="1">
        <f t="shared" si="0"/>
        <v>-5.9250000000000007</v>
      </c>
      <c r="E9" s="5">
        <f t="shared" si="1"/>
        <v>35.105625000000011</v>
      </c>
      <c r="F9" s="4">
        <f t="shared" si="2"/>
        <v>2.0151133501259445E-2</v>
      </c>
      <c r="G9" s="4">
        <f t="shared" si="3"/>
        <v>7.3047858942065474E-2</v>
      </c>
    </row>
    <row r="10" spans="1:7" x14ac:dyDescent="0.25">
      <c r="B10" s="8">
        <v>4</v>
      </c>
      <c r="C10" s="1">
        <v>9.9250000000000007</v>
      </c>
      <c r="D10" s="1">
        <f t="shared" si="0"/>
        <v>-5.9250000000000007</v>
      </c>
      <c r="E10" s="5">
        <f t="shared" si="1"/>
        <v>35.105625000000011</v>
      </c>
      <c r="F10" s="4">
        <f t="shared" si="2"/>
        <v>2.0151133501259445E-2</v>
      </c>
      <c r="G10" s="4">
        <f t="shared" si="3"/>
        <v>9.3198992443324913E-2</v>
      </c>
    </row>
    <row r="11" spans="1:7" x14ac:dyDescent="0.25">
      <c r="B11" s="8">
        <v>4</v>
      </c>
      <c r="C11" s="1">
        <v>9.9250000000000007</v>
      </c>
      <c r="D11" s="1">
        <f t="shared" si="0"/>
        <v>-5.9250000000000007</v>
      </c>
      <c r="E11" s="5">
        <f t="shared" si="1"/>
        <v>35.105625000000011</v>
      </c>
      <c r="F11" s="4">
        <f t="shared" si="2"/>
        <v>2.0151133501259445E-2</v>
      </c>
      <c r="G11" s="4">
        <f t="shared" si="3"/>
        <v>0.11335012594458435</v>
      </c>
    </row>
    <row r="12" spans="1:7" x14ac:dyDescent="0.25">
      <c r="B12" s="8">
        <v>4</v>
      </c>
      <c r="C12" s="1">
        <v>9.9250000000000007</v>
      </c>
      <c r="D12" s="1">
        <f t="shared" si="0"/>
        <v>-5.9250000000000007</v>
      </c>
      <c r="E12" s="5">
        <f t="shared" si="1"/>
        <v>35.105625000000011</v>
      </c>
      <c r="F12" s="4">
        <f t="shared" si="2"/>
        <v>2.0151133501259445E-2</v>
      </c>
      <c r="G12" s="4">
        <f t="shared" si="3"/>
        <v>0.13350125944584379</v>
      </c>
    </row>
    <row r="13" spans="1:7" x14ac:dyDescent="0.25">
      <c r="B13" s="8">
        <v>4</v>
      </c>
      <c r="C13" s="1">
        <v>9.9250000000000007</v>
      </c>
      <c r="D13" s="1">
        <f t="shared" si="0"/>
        <v>-5.9250000000000007</v>
      </c>
      <c r="E13" s="5">
        <f t="shared" si="1"/>
        <v>35.105625000000011</v>
      </c>
      <c r="F13" s="4">
        <f t="shared" si="2"/>
        <v>2.0151133501259445E-2</v>
      </c>
      <c r="G13" s="4">
        <f t="shared" si="3"/>
        <v>0.15365239294710323</v>
      </c>
    </row>
    <row r="14" spans="1:7" x14ac:dyDescent="0.25">
      <c r="B14" s="8">
        <v>8</v>
      </c>
      <c r="C14" s="1">
        <v>9.9250000000000007</v>
      </c>
      <c r="D14" s="1">
        <f t="shared" si="0"/>
        <v>-1.9250000000000007</v>
      </c>
      <c r="E14" s="5">
        <f t="shared" si="1"/>
        <v>3.7056250000000026</v>
      </c>
      <c r="F14" s="4">
        <f t="shared" si="2"/>
        <v>4.0302267002518891E-2</v>
      </c>
      <c r="G14" s="4">
        <f t="shared" si="3"/>
        <v>0.19395465994962213</v>
      </c>
    </row>
    <row r="15" spans="1:7" x14ac:dyDescent="0.25">
      <c r="B15" s="8">
        <v>8</v>
      </c>
      <c r="C15" s="1">
        <v>9.9250000000000007</v>
      </c>
      <c r="D15" s="1">
        <f t="shared" si="0"/>
        <v>-1.9250000000000007</v>
      </c>
      <c r="E15" s="5">
        <f t="shared" si="1"/>
        <v>3.7056250000000026</v>
      </c>
      <c r="F15" s="4">
        <f t="shared" si="2"/>
        <v>4.0302267002518891E-2</v>
      </c>
      <c r="G15" s="4">
        <f t="shared" si="3"/>
        <v>0.23425692695214101</v>
      </c>
    </row>
    <row r="16" spans="1:7" x14ac:dyDescent="0.25">
      <c r="B16" s="8">
        <v>8</v>
      </c>
      <c r="C16" s="1">
        <v>9.9250000000000007</v>
      </c>
      <c r="D16" s="1">
        <f t="shared" si="0"/>
        <v>-1.9250000000000007</v>
      </c>
      <c r="E16" s="5">
        <f t="shared" si="1"/>
        <v>3.7056250000000026</v>
      </c>
      <c r="F16" s="4">
        <f t="shared" si="2"/>
        <v>4.0302267002518891E-2</v>
      </c>
      <c r="G16" s="4">
        <f t="shared" si="3"/>
        <v>0.27455919395465989</v>
      </c>
    </row>
    <row r="17" spans="1:7" x14ac:dyDescent="0.25">
      <c r="B17" s="8">
        <v>16</v>
      </c>
      <c r="C17" s="1">
        <v>9.9250000000000007</v>
      </c>
      <c r="D17" s="1">
        <f t="shared" si="0"/>
        <v>6.0749999999999993</v>
      </c>
      <c r="E17" s="5">
        <f t="shared" si="1"/>
        <v>36.905624999999993</v>
      </c>
      <c r="F17" s="4">
        <f t="shared" si="2"/>
        <v>8.0604534005037781E-2</v>
      </c>
      <c r="G17" s="4">
        <f t="shared" si="3"/>
        <v>0.35516372795969764</v>
      </c>
    </row>
    <row r="18" spans="1:7" x14ac:dyDescent="0.25">
      <c r="B18" s="8">
        <v>16</v>
      </c>
      <c r="C18" s="1">
        <v>9.9250000000000007</v>
      </c>
      <c r="D18" s="1">
        <f t="shared" si="0"/>
        <v>6.0749999999999993</v>
      </c>
      <c r="E18" s="5">
        <f t="shared" si="1"/>
        <v>36.905624999999993</v>
      </c>
      <c r="F18" s="4">
        <f t="shared" si="2"/>
        <v>8.0604534005037781E-2</v>
      </c>
      <c r="G18" s="4">
        <f t="shared" si="3"/>
        <v>0.43576826196473539</v>
      </c>
    </row>
    <row r="19" spans="1:7" x14ac:dyDescent="0.25">
      <c r="B19" s="8">
        <v>16</v>
      </c>
      <c r="C19" s="1">
        <v>9.9250000000000007</v>
      </c>
      <c r="D19" s="1">
        <f t="shared" si="0"/>
        <v>6.0749999999999993</v>
      </c>
      <c r="E19" s="5">
        <f>D19^2</f>
        <v>36.905624999999993</v>
      </c>
      <c r="F19" s="4">
        <f t="shared" si="2"/>
        <v>8.0604534005037781E-2</v>
      </c>
      <c r="G19" s="4">
        <f t="shared" si="3"/>
        <v>0.51637279596977315</v>
      </c>
    </row>
    <row r="20" spans="1:7" x14ac:dyDescent="0.25">
      <c r="B20" s="8">
        <v>32</v>
      </c>
      <c r="C20" s="1">
        <v>9.9250000000000007</v>
      </c>
      <c r="D20" s="1">
        <f t="shared" si="0"/>
        <v>22.074999999999999</v>
      </c>
      <c r="E20" s="5">
        <f t="shared" si="1"/>
        <v>487.30562499999996</v>
      </c>
      <c r="F20" s="4">
        <f t="shared" si="2"/>
        <v>0.16120906801007556</v>
      </c>
      <c r="G20" s="4">
        <f t="shared" si="3"/>
        <v>0.67758186397984876</v>
      </c>
    </row>
    <row r="21" spans="1:7" x14ac:dyDescent="0.25">
      <c r="B21" s="8">
        <v>64</v>
      </c>
      <c r="C21" s="1">
        <v>9.9250000000000007</v>
      </c>
      <c r="D21" s="1">
        <f t="shared" si="0"/>
        <v>54.075000000000003</v>
      </c>
      <c r="E21" s="5">
        <f t="shared" si="1"/>
        <v>2924.1056250000001</v>
      </c>
      <c r="F21" s="4">
        <f t="shared" si="2"/>
        <v>0.32241813602015112</v>
      </c>
      <c r="G21" s="4">
        <f t="shared" si="3"/>
        <v>0.99999999999999989</v>
      </c>
    </row>
    <row r="22" spans="1:7" x14ac:dyDescent="0.25">
      <c r="A22" s="2" t="s">
        <v>0</v>
      </c>
      <c r="B22" s="2">
        <f>SUM(B2:B21)</f>
        <v>198.5</v>
      </c>
      <c r="C22" s="1"/>
      <c r="D22" s="2">
        <f>SUM(D2:D21)</f>
        <v>0</v>
      </c>
      <c r="E22" s="6">
        <f>SUM(E2:E21)</f>
        <v>4208.1375000000007</v>
      </c>
      <c r="F22" s="7">
        <f>SUM(F2:F21)</f>
        <v>0.99999999999999989</v>
      </c>
    </row>
    <row r="23" spans="1:7" x14ac:dyDescent="0.25">
      <c r="A23" s="2" t="s">
        <v>1</v>
      </c>
      <c r="B23" s="2">
        <f>AVERAGE(B2:B21)</f>
        <v>9.9250000000000007</v>
      </c>
      <c r="C23" s="1"/>
    </row>
    <row r="24" spans="1:7" x14ac:dyDescent="0.25">
      <c r="A24" s="2" t="s">
        <v>5</v>
      </c>
      <c r="B24" s="6">
        <f>E22/19</f>
        <v>221.48092105263163</v>
      </c>
      <c r="C24" s="1"/>
    </row>
    <row r="25" spans="1:7" x14ac:dyDescent="0.25">
      <c r="A25" s="2" t="s">
        <v>6</v>
      </c>
      <c r="B25" s="6">
        <f>SQRT(B24)</f>
        <v>14.882235082561746</v>
      </c>
      <c r="C25" s="1"/>
    </row>
    <row r="26" spans="1:7" x14ac:dyDescent="0.25">
      <c r="C26" s="1"/>
    </row>
    <row r="27" spans="1:7" x14ac:dyDescent="0.25">
      <c r="C2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Exo-1-TD</vt:lpstr>
      <vt:lpstr>Exo-2-TD</vt:lpstr>
      <vt:lpstr>Dev1-Exo3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SB</cp:lastModifiedBy>
  <dcterms:created xsi:type="dcterms:W3CDTF">2025-10-30T09:52:52Z</dcterms:created>
  <dcterms:modified xsi:type="dcterms:W3CDTF">2025-10-31T13:14:35Z</dcterms:modified>
</cp:coreProperties>
</file>